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tudentcoll\Desktop\MaksimZ\"/>
    </mc:Choice>
  </mc:AlternateContent>
  <xr:revisionPtr revIDLastSave="0" documentId="8_{012E73DC-DD10-40CB-B21E-0F799AF36A21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import JSON" sheetId="6" r:id="rId1"/>
    <sheet name="import CSV" sheetId="5" r:id="rId2"/>
    <sheet name="Исходные данные" sheetId="1" r:id="rId3"/>
    <sheet name="Реестр" sheetId="2" r:id="rId4"/>
    <sheet name="Справочники" sheetId="3" r:id="rId5"/>
    <sheet name="Аналитика" sheetId="4" r:id="rId6"/>
  </sheets>
  <definedNames>
    <definedName name="ExternalData_1" localSheetId="1" hidden="1">'import CSV'!$A$1:$H$5</definedName>
    <definedName name="ExternalData_2" localSheetId="0" hidden="1">'import JSON'!$A$1:$H$51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3" l="1"/>
  <c r="J2" i="3"/>
  <c r="I2" i="3"/>
  <c r="H3" i="3"/>
  <c r="H4" i="3"/>
  <c r="H5" i="3"/>
  <c r="H2" i="3"/>
  <c r="F3" i="3" l="1"/>
  <c r="F2" i="3"/>
  <c r="G2" i="3" s="1"/>
  <c r="G4" i="3"/>
  <c r="G5" i="3"/>
  <c r="F4" i="3"/>
  <c r="F5" i="3"/>
  <c r="E3" i="3"/>
  <c r="E4" i="3"/>
  <c r="E5" i="3"/>
  <c r="E2" i="3"/>
  <c r="D2" i="2"/>
  <c r="D3" i="2"/>
  <c r="D4" i="2"/>
  <c r="D5" i="2"/>
  <c r="F6" i="3" l="1"/>
  <c r="E6" i="3"/>
  <c r="G6" i="3" l="1"/>
  <c r="G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FDFC32-94EE-4618-B1ED-609EF1C3B946}" keepAlive="1" name="Запрос — clients_database" description="Соединение с запросом &quot;clients_database&quot; в книге." type="5" refreshedVersion="6" background="1" saveData="1">
    <dbPr connection="Provider=Microsoft.Mashup.OleDb.1;Data Source=$Workbook$;Location=clients_database;Extended Properties=&quot;&quot;" command="SELECT * FROM [clients_database]"/>
  </connection>
  <connection id="2" xr16:uid="{94E08795-1E28-4F6E-B4BE-97EC6A4DA635}" keepAlive="1" name="Запрос — тарифы" description="Соединение с запросом &quot;тарифы&quot; в книге." type="5" refreshedVersion="6" background="1" saveData="1">
    <dbPr connection="Provider=Microsoft.Mashup.OleDb.1;Data Source=$Workbook$;Location=тарифы;Extended Properties=&quot;&quot;" command="SELECT * FROM [тарифы]"/>
  </connection>
</connections>
</file>

<file path=xl/sharedStrings.xml><?xml version="1.0" encoding="utf-8"?>
<sst xmlns="http://schemas.openxmlformats.org/spreadsheetml/2006/main" count="356" uniqueCount="257">
  <si>
    <t>Сложение</t>
  </si>
  <si>
    <t>Вычитание</t>
  </si>
  <si>
    <t>Умножение</t>
  </si>
  <si>
    <t>Деление</t>
  </si>
  <si>
    <t>num1</t>
  </si>
  <si>
    <t>num2</t>
  </si>
  <si>
    <t>result</t>
  </si>
  <si>
    <t>Фамилия</t>
  </si>
  <si>
    <t>№</t>
  </si>
  <si>
    <t>Оплата за день</t>
  </si>
  <si>
    <t>Количество дней</t>
  </si>
  <si>
    <t>Иванов</t>
  </si>
  <si>
    <t>Антонов</t>
  </si>
  <si>
    <t>Егорова</t>
  </si>
  <si>
    <t>Петрова</t>
  </si>
  <si>
    <t>Зарплата</t>
  </si>
  <si>
    <t>Налог в %</t>
  </si>
  <si>
    <t>Налога удержано</t>
  </si>
  <si>
    <t>Чистая зарплата</t>
  </si>
  <si>
    <t>ID</t>
  </si>
  <si>
    <t>Название тарифа</t>
  </si>
  <si>
    <t>Цена (руб)</t>
  </si>
  <si>
    <t>Период оплаты</t>
  </si>
  <si>
    <t>Количество пользователей</t>
  </si>
  <si>
    <t>Объем хранилища (Гб)</t>
  </si>
  <si>
    <t>Доступные функции</t>
  </si>
  <si>
    <t>Статус</t>
  </si>
  <si>
    <t>Базовый</t>
  </si>
  <si>
    <t>Ежемесячно</t>
  </si>
  <si>
    <t>1</t>
  </si>
  <si>
    <t>Базовый функционал, реклама</t>
  </si>
  <si>
    <t>Активен</t>
  </si>
  <si>
    <t>Стандарт</t>
  </si>
  <si>
    <t>5</t>
  </si>
  <si>
    <t>Без рекламы, техподдержка, аналитика</t>
  </si>
  <si>
    <t>Профи</t>
  </si>
  <si>
    <t>20</t>
  </si>
  <si>
    <t>Приоритетная поддержка, API, интеграции</t>
  </si>
  <si>
    <t>Рекомендуемый</t>
  </si>
  <si>
    <t>Корпоративный</t>
  </si>
  <si>
    <t>Ежегодно</t>
  </si>
  <si>
    <t>Без ограничений</t>
  </si>
  <si>
    <t>Выделенный сервер, SLA, кастомные доработки</t>
  </si>
  <si>
    <t>id</t>
  </si>
  <si>
    <t>name</t>
  </si>
  <si>
    <t>email</t>
  </si>
  <si>
    <t>phone</t>
  </si>
  <si>
    <t>city</t>
  </si>
  <si>
    <t>registration_date</t>
  </si>
  <si>
    <t>status</t>
  </si>
  <si>
    <t>balance</t>
  </si>
  <si>
    <t>Андрей Иванов</t>
  </si>
  <si>
    <t>andivanov45@yandex.ru</t>
  </si>
  <si>
    <t>+7 (938) 242-23-96</t>
  </si>
  <si>
    <t>Санкт-Петербург</t>
  </si>
  <si>
    <t>2025-10-14</t>
  </si>
  <si>
    <t>active</t>
  </si>
  <si>
    <t>Иван Соколов</t>
  </si>
  <si>
    <t>ivasokolov74@gmail.com</t>
  </si>
  <si>
    <t>+7 (981) 303-93-99</t>
  </si>
  <si>
    <t>Краснодар</t>
  </si>
  <si>
    <t>2025-04-15</t>
  </si>
  <si>
    <t>pending</t>
  </si>
  <si>
    <t>Александр Попов</t>
  </si>
  <si>
    <t>alepopov99@outlook.com</t>
  </si>
  <si>
    <t>+7 (953) 384-29-37</t>
  </si>
  <si>
    <t>Нижний Новгород</t>
  </si>
  <si>
    <t>2025-02-03</t>
  </si>
  <si>
    <t>inactive</t>
  </si>
  <si>
    <t>Ольга Николаева</t>
  </si>
  <si>
    <t>olgnikolaeva43@gmail.com</t>
  </si>
  <si>
    <t>+7 (968) 649-25-58</t>
  </si>
  <si>
    <t>2025-09-10</t>
  </si>
  <si>
    <t>Ольга Степанова</t>
  </si>
  <si>
    <t>olgstepanova34@gmail.com</t>
  </si>
  <si>
    <t>+7 (915) 777-39-47</t>
  </si>
  <si>
    <t>2025-04-28</t>
  </si>
  <si>
    <t>Анна Волкова</t>
  </si>
  <si>
    <t>annvolkova30@mail.ru</t>
  </si>
  <si>
    <t>+7 (955) 314-95-44</t>
  </si>
  <si>
    <t>2025-10-21</t>
  </si>
  <si>
    <t>Михаил Попов</t>
  </si>
  <si>
    <t>mikpopov69@outlook.com</t>
  </si>
  <si>
    <t>+7 (944) 755-98-81</t>
  </si>
  <si>
    <t>Екатеринбург</t>
  </si>
  <si>
    <t>2025-11-11</t>
  </si>
  <si>
    <t>Дмитрий Морозов</t>
  </si>
  <si>
    <t>dmimorozov61@mail.ru</t>
  </si>
  <si>
    <t>+7 (918) 316-82-50</t>
  </si>
  <si>
    <t>2025-11-16</t>
  </si>
  <si>
    <t>Анна Кузнецова</t>
  </si>
  <si>
    <t>annkuznetsova43@yandex.ru</t>
  </si>
  <si>
    <t>+7 (941) 862-81-78</t>
  </si>
  <si>
    <t>Казань</t>
  </si>
  <si>
    <t>2025-12-19</t>
  </si>
  <si>
    <t>Наталья Волкова</t>
  </si>
  <si>
    <t>natvolkova38@yandex.ru</t>
  </si>
  <si>
    <t>+7 (975) 605-21-16</t>
  </si>
  <si>
    <t>2025-03-21</t>
  </si>
  <si>
    <t>Екатерина Николаева</t>
  </si>
  <si>
    <t>ekanikolaeva18@outlook.com</t>
  </si>
  <si>
    <t>+7 (958) 710-69-77</t>
  </si>
  <si>
    <t>2025-09-28</t>
  </si>
  <si>
    <t>Андрей Козлов</t>
  </si>
  <si>
    <t>andkozlov44@mail.ru</t>
  </si>
  <si>
    <t>+7 (924) 400-65-30</t>
  </si>
  <si>
    <t>Владивосток</t>
  </si>
  <si>
    <t>2025-01-24</t>
  </si>
  <si>
    <t>Татьяна Попова</t>
  </si>
  <si>
    <t>tatpopova74@gmail.com</t>
  </si>
  <si>
    <t>+7 (990) 405-91-74</t>
  </si>
  <si>
    <t>2025-03-12</t>
  </si>
  <si>
    <t>Татьяна Иванова</t>
  </si>
  <si>
    <t>tativanova86@mail.ru</t>
  </si>
  <si>
    <t>+7 (972) 119-24-56</t>
  </si>
  <si>
    <t>2025-04-02</t>
  </si>
  <si>
    <t>Сергей Сидоров</t>
  </si>
  <si>
    <t>sersidorov72@gmail.com</t>
  </si>
  <si>
    <t>+7 (978) 884-26-26</t>
  </si>
  <si>
    <t>2025-09-06</t>
  </si>
  <si>
    <t>Ирина Лебедева</t>
  </si>
  <si>
    <t>irilebedeva37@yandex.ru</t>
  </si>
  <si>
    <t>+7 (949) 508-95-93</t>
  </si>
  <si>
    <t>2025-08-17</t>
  </si>
  <si>
    <t>Михаил Сидоров</t>
  </si>
  <si>
    <t>miksidorov53@gmail.com</t>
  </si>
  <si>
    <t>+7 (985) 667-39-85</t>
  </si>
  <si>
    <t>2025-01-03</t>
  </si>
  <si>
    <t>miksidorov14@mail.ru</t>
  </si>
  <si>
    <t>+7 (919) 626-40-45</t>
  </si>
  <si>
    <t>2025-04-18</t>
  </si>
  <si>
    <t>Анастасия Степанова</t>
  </si>
  <si>
    <t>anastepanova70@yandex.ru</t>
  </si>
  <si>
    <t>+7 (970) 926-62-34</t>
  </si>
  <si>
    <t>2025-02-22</t>
  </si>
  <si>
    <t>Екатерина Семенова</t>
  </si>
  <si>
    <t>ekasemenova16@gmail.com</t>
  </si>
  <si>
    <t>+7 (917) 512-53-23</t>
  </si>
  <si>
    <t>2025-04-07</t>
  </si>
  <si>
    <t>Екатерина Попова</t>
  </si>
  <si>
    <t>ekapopova45@outlook.com</t>
  </si>
  <si>
    <t>+7 (941) 995-19-66</t>
  </si>
  <si>
    <t>2025-01-21</t>
  </si>
  <si>
    <t>Сергей Соколов</t>
  </si>
  <si>
    <t>sersokolov31@outlook.com</t>
  </si>
  <si>
    <t>+7 (972) 592-37-61</t>
  </si>
  <si>
    <t>Москва</t>
  </si>
  <si>
    <t>2025-03-13</t>
  </si>
  <si>
    <t>Артем Семенов</t>
  </si>
  <si>
    <t>artsemenov46@outlook.com</t>
  </si>
  <si>
    <t>+7 (999) 848-81-94</t>
  </si>
  <si>
    <t>2025-03-07</t>
  </si>
  <si>
    <t>Дмитрий Степанов</t>
  </si>
  <si>
    <t>dmistepanov79@gmail.com</t>
  </si>
  <si>
    <t>+7 (950) 158-16-84</t>
  </si>
  <si>
    <t>Татьяна Сидорова</t>
  </si>
  <si>
    <t>tatsidorova33@gmail.com</t>
  </si>
  <si>
    <t>+7 (986) 169-96-40</t>
  </si>
  <si>
    <t>2025-02-19</t>
  </si>
  <si>
    <t>Дмитрий Николаев</t>
  </si>
  <si>
    <t>dminikolaev20@outlook.com</t>
  </si>
  <si>
    <t>+7 (994) 697-82-76</t>
  </si>
  <si>
    <t>2025-05-07</t>
  </si>
  <si>
    <t>Михаил Новиков</t>
  </si>
  <si>
    <t>miknovikov60@yandex.ru</t>
  </si>
  <si>
    <t>+7 (995) 760-48-68</t>
  </si>
  <si>
    <t>2025-02-01</t>
  </si>
  <si>
    <t>Анастасия Смирнова</t>
  </si>
  <si>
    <t>anasmirnova19@yandex.ru</t>
  </si>
  <si>
    <t>+7 (974) 371-26-54</t>
  </si>
  <si>
    <t>2025-04-12</t>
  </si>
  <si>
    <t>Юлия Федорова</t>
  </si>
  <si>
    <t>yulfedorova88@gmail.com</t>
  </si>
  <si>
    <t>+7 (995) 936-80-48</t>
  </si>
  <si>
    <t>2025-03-09</t>
  </si>
  <si>
    <t>Юлия Кузнецова</t>
  </si>
  <si>
    <t>yulkuznetsova44@mail.ru</t>
  </si>
  <si>
    <t>+7 (987) 315-53-36</t>
  </si>
  <si>
    <t>2025-09-16</t>
  </si>
  <si>
    <t>Дмитрий Сидоров</t>
  </si>
  <si>
    <t>dmisidorov91@outlook.com</t>
  </si>
  <si>
    <t>+7 (945) 145-10-52</t>
  </si>
  <si>
    <t>Новосибирск</t>
  </si>
  <si>
    <t>2025-11-09</t>
  </si>
  <si>
    <t>Юлия Лебедева</t>
  </si>
  <si>
    <t>yullebedeva81@gmail.com</t>
  </si>
  <si>
    <t>+7 (924) 177-98-29</t>
  </si>
  <si>
    <t>2025-06-19</t>
  </si>
  <si>
    <t>Алексей Петров</t>
  </si>
  <si>
    <t>alepetrov49@mail.ru</t>
  </si>
  <si>
    <t>+7 (915) 466-36-97</t>
  </si>
  <si>
    <t>2025-11-04</t>
  </si>
  <si>
    <t>ekanikolaeva29@yandex.ru</t>
  </si>
  <si>
    <t>+7 (930) 919-32-62</t>
  </si>
  <si>
    <t>2025-03-24</t>
  </si>
  <si>
    <t>Екатерина Соколова</t>
  </si>
  <si>
    <t>ekasokolova44@yandex.ru</t>
  </si>
  <si>
    <t>+7 (999) 210-58-14</t>
  </si>
  <si>
    <t>Михаил Соколов</t>
  </si>
  <si>
    <t>miksokolov13@yandex.ru</t>
  </si>
  <si>
    <t>+7 (961) 436-45-18</t>
  </si>
  <si>
    <t>2025-06-21</t>
  </si>
  <si>
    <t>Юлия Морозова</t>
  </si>
  <si>
    <t>yulmorozova13@gmail.com</t>
  </si>
  <si>
    <t>+7 (943) 282-84-43</t>
  </si>
  <si>
    <t>2025-02-20</t>
  </si>
  <si>
    <t>Елена Лебедева</t>
  </si>
  <si>
    <t>elelebedeva87@gmail.com</t>
  </si>
  <si>
    <t>+7 (959) 690-34-42</t>
  </si>
  <si>
    <t>2025-12-14</t>
  </si>
  <si>
    <t>Юлия Васильева</t>
  </si>
  <si>
    <t>yulvasileva56@outlook.com</t>
  </si>
  <si>
    <t>+7 (918) 780-52-89</t>
  </si>
  <si>
    <t>2025-11-28</t>
  </si>
  <si>
    <t>Никита Павлов</t>
  </si>
  <si>
    <t>nikpavlov49@outlook.com</t>
  </si>
  <si>
    <t>+7 (951) 512-99-47</t>
  </si>
  <si>
    <t>2025-04-14</t>
  </si>
  <si>
    <t>Максим Николаев</t>
  </si>
  <si>
    <t>maknikolaev82@mail.ru</t>
  </si>
  <si>
    <t>+7 (961) 661-10-48</t>
  </si>
  <si>
    <t>Елена Семенова</t>
  </si>
  <si>
    <t>elesemenova66@outlook.com</t>
  </si>
  <si>
    <t>+7 (996) 318-75-70</t>
  </si>
  <si>
    <t>2025-11-03</t>
  </si>
  <si>
    <t>Ирина Морозова</t>
  </si>
  <si>
    <t>irimorozova21@yandex.ru</t>
  </si>
  <si>
    <t>+7 (996) 417-38-35</t>
  </si>
  <si>
    <t>2025-01-02</t>
  </si>
  <si>
    <t>Ирина Сидорова</t>
  </si>
  <si>
    <t>irisidorova68@outlook.com</t>
  </si>
  <si>
    <t>+7 (990) 689-34-99</t>
  </si>
  <si>
    <t>2025-08-13</t>
  </si>
  <si>
    <t>Александр Смирнов</t>
  </si>
  <si>
    <t>alesmirnov64@yandex.ru</t>
  </si>
  <si>
    <t>+7 (932) 923-99-76</t>
  </si>
  <si>
    <t>2025-01-18</t>
  </si>
  <si>
    <t>Андрей Семенов</t>
  </si>
  <si>
    <t>andsemenov27@outlook.com</t>
  </si>
  <si>
    <t>+7 (995) 643-81-86</t>
  </si>
  <si>
    <t>2025-08-20</t>
  </si>
  <si>
    <t>Екатерина Козлова</t>
  </si>
  <si>
    <t>ekakozlova67@yandex.ru</t>
  </si>
  <si>
    <t>+7 (970) 560-43-41</t>
  </si>
  <si>
    <t>Анна Сидорова</t>
  </si>
  <si>
    <t>annsidorova46@yandex.ru</t>
  </si>
  <si>
    <t>+7 (944) 443-50-79</t>
  </si>
  <si>
    <t>2025-03-05</t>
  </si>
  <si>
    <t>Алексей Васильев</t>
  </si>
  <si>
    <t>alevasilev18@outlook.com</t>
  </si>
  <si>
    <t>+7 (962) 438-79-69</t>
  </si>
  <si>
    <t>2025-01-07</t>
  </si>
  <si>
    <t>Анастасия Иванова</t>
  </si>
  <si>
    <t>anaivanova83@outlook.com</t>
  </si>
  <si>
    <t>+7 (971) 106-55-48</t>
  </si>
  <si>
    <t>2025-07-18</t>
  </si>
  <si>
    <t>&gt;40000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</si>
</sst>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164" fontId="0" fillId="0" borderId="0" xfId="0" applyNumberFormat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2" borderId="0" xfId="0" applyNumberFormat="1" applyFill="1"/>
    <xf numFmtId="0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AD681F4-AEFA-4CF8-94FE-F509AC55FDD4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email" tableColumnId="3"/>
      <queryTableField id="4" name="phone" tableColumnId="4"/>
      <queryTableField id="5" name="city" tableColumnId="5"/>
      <queryTableField id="6" name="registration_date" tableColumnId="6"/>
      <queryTableField id="7" name="status" tableColumnId="7"/>
      <queryTableField id="8" name="balanc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14CC7B2-4A52-4ADC-ADC2-760F6A2D61E9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Название тарифа" tableColumnId="2"/>
      <queryTableField id="3" name="Цена (руб)" tableColumnId="3"/>
      <queryTableField id="4" name="Период оплаты" tableColumnId="4"/>
      <queryTableField id="5" name="Количество пользователей" tableColumnId="5"/>
      <queryTableField id="6" name="Объем хранилища (Гб)" tableColumnId="6"/>
      <queryTableField id="7" name="Доступные функции" tableColumnId="7"/>
      <queryTableField id="8" name="Статус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95021-6D2E-441E-9AD3-252F15244C44}" name="clients_database" displayName="clients_database" ref="A1:H51" tableType="queryTable" totalsRowShown="0">
  <autoFilter ref="A1:H51" xr:uid="{59D578E1-EDAC-40F5-9C07-7DFE2D96B5D4}"/>
  <tableColumns count="8">
    <tableColumn id="1" xr3:uid="{F87AE2E0-81AA-4670-ABAF-AE36ABBBB594}" uniqueName="1" name="id" queryTableFieldId="1"/>
    <tableColumn id="2" xr3:uid="{F519C29E-F138-41A1-B041-4C687DE4457E}" uniqueName="2" name="name" queryTableFieldId="2"/>
    <tableColumn id="3" xr3:uid="{2F87A86D-16AA-4490-98C6-F4417A676C83}" uniqueName="3" name="email" queryTableFieldId="3"/>
    <tableColumn id="4" xr3:uid="{F5B1079B-434C-4B75-A05C-DC66C7765746}" uniqueName="4" name="phone" queryTableFieldId="4"/>
    <tableColumn id="5" xr3:uid="{440A5B59-A9E9-4E13-A1EA-87E0B512D360}" uniqueName="5" name="city" queryTableFieldId="5"/>
    <tableColumn id="6" xr3:uid="{BE89F5FF-C5BB-4BA4-9D65-E74D6C66CD55}" uniqueName="6" name="registration_date" queryTableFieldId="6"/>
    <tableColumn id="7" xr3:uid="{781E482B-1DED-4917-90EB-4D2BB462A1A8}" uniqueName="7" name="status" queryTableFieldId="7"/>
    <tableColumn id="8" xr3:uid="{EE44F6F4-1764-4FF3-9B1C-3F4AACB6DFD0}" uniqueName="8" name="balanc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2CDE6-146F-473A-AA84-FDBAA0086690}" name="тарифы" displayName="тарифы" ref="A1:H5" tableType="queryTable" totalsRowShown="0">
  <autoFilter ref="A1:H5" xr:uid="{2C3A45FA-77DE-4707-A372-4CC4006B10AD}"/>
  <tableColumns count="8">
    <tableColumn id="1" xr3:uid="{1B255437-571D-488C-A5BD-BB9213164598}" uniqueName="1" name="ID" queryTableFieldId="1"/>
    <tableColumn id="2" xr3:uid="{C0F265CB-A7A2-461B-8FD6-61B8A13F105B}" uniqueName="2" name="Название тарифа" queryTableFieldId="2" dataDxfId="4"/>
    <tableColumn id="3" xr3:uid="{4EA7EEA2-8475-4581-A1FA-60CEB223150E}" uniqueName="3" name="Цена (руб)" queryTableFieldId="3"/>
    <tableColumn id="4" xr3:uid="{5FBD203B-33A0-481E-BA7E-FE43CF02C426}" uniqueName="4" name="Период оплаты" queryTableFieldId="4" dataDxfId="3"/>
    <tableColumn id="5" xr3:uid="{AF9328C8-C411-4760-8B95-8A614BBE4615}" uniqueName="5" name="Количество пользователей" queryTableFieldId="5" dataDxfId="2"/>
    <tableColumn id="6" xr3:uid="{3BF5C5BD-617F-4DA6-805C-5FFF3B3A542B}" uniqueName="6" name="Объем хранилища (Гб)" queryTableFieldId="6"/>
    <tableColumn id="7" xr3:uid="{F9C207DA-C15E-40DD-8BBD-BCAED0278CFC}" uniqueName="7" name="Доступные функции" queryTableFieldId="7" dataDxfId="1"/>
    <tableColumn id="8" xr3:uid="{165927E2-A39C-44AA-8586-210FE3E97121}" uniqueName="8" name="Статус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665D-06A7-4A13-9821-FE0A564DE3F0}">
  <dimension ref="A1:H51"/>
  <sheetViews>
    <sheetView workbookViewId="0">
      <selection activeCell="K7" sqref="K7"/>
    </sheetView>
  </sheetViews>
  <sheetFormatPr defaultRowHeight="15" x14ac:dyDescent="0.25"/>
  <cols>
    <col min="1" max="1" width="5" bestFit="1" customWidth="1"/>
    <col min="2" max="2" width="21" bestFit="1" customWidth="1"/>
    <col min="3" max="3" width="28.5703125" bestFit="1" customWidth="1"/>
    <col min="4" max="4" width="16.85546875" bestFit="1" customWidth="1"/>
    <col min="5" max="5" width="17.7109375" bestFit="1" customWidth="1"/>
    <col min="6" max="6" width="18.7109375" bestFit="1" customWidth="1"/>
    <col min="7" max="7" width="8.5703125" bestFit="1" customWidth="1"/>
    <col min="8" max="8" width="10.140625" bestFit="1" customWidth="1"/>
  </cols>
  <sheetData>
    <row r="1" spans="1:8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>
        <v>2719.89</v>
      </c>
    </row>
    <row r="3" spans="1:8" x14ac:dyDescent="0.25">
      <c r="A3">
        <v>2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>
        <v>21225.21</v>
      </c>
    </row>
    <row r="4" spans="1:8" x14ac:dyDescent="0.25">
      <c r="A4">
        <v>3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>
        <v>7705.37</v>
      </c>
    </row>
    <row r="5" spans="1:8" x14ac:dyDescent="0.25">
      <c r="A5">
        <v>4</v>
      </c>
      <c r="B5" t="s">
        <v>69</v>
      </c>
      <c r="C5" t="s">
        <v>70</v>
      </c>
      <c r="D5" t="s">
        <v>71</v>
      </c>
      <c r="E5" t="s">
        <v>54</v>
      </c>
      <c r="F5" t="s">
        <v>72</v>
      </c>
      <c r="G5" t="s">
        <v>62</v>
      </c>
      <c r="H5">
        <v>46579.72</v>
      </c>
    </row>
    <row r="6" spans="1:8" x14ac:dyDescent="0.25">
      <c r="A6">
        <v>5</v>
      </c>
      <c r="B6" t="s">
        <v>73</v>
      </c>
      <c r="C6" t="s">
        <v>74</v>
      </c>
      <c r="D6" t="s">
        <v>75</v>
      </c>
      <c r="E6" t="s">
        <v>54</v>
      </c>
      <c r="F6" t="s">
        <v>76</v>
      </c>
      <c r="G6" t="s">
        <v>56</v>
      </c>
      <c r="H6">
        <v>28819.4</v>
      </c>
    </row>
    <row r="7" spans="1:8" x14ac:dyDescent="0.25">
      <c r="A7">
        <v>6</v>
      </c>
      <c r="B7" t="s">
        <v>77</v>
      </c>
      <c r="C7" t="s">
        <v>78</v>
      </c>
      <c r="D7" t="s">
        <v>79</v>
      </c>
      <c r="E7" t="s">
        <v>54</v>
      </c>
      <c r="F7" t="s">
        <v>80</v>
      </c>
      <c r="G7" t="s">
        <v>56</v>
      </c>
      <c r="H7">
        <v>40293.42</v>
      </c>
    </row>
    <row r="8" spans="1:8" x14ac:dyDescent="0.25">
      <c r="A8">
        <v>7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56</v>
      </c>
      <c r="H8">
        <v>17564.080000000002</v>
      </c>
    </row>
    <row r="9" spans="1:8" x14ac:dyDescent="0.25">
      <c r="A9">
        <v>8</v>
      </c>
      <c r="B9" t="s">
        <v>86</v>
      </c>
      <c r="C9" t="s">
        <v>87</v>
      </c>
      <c r="D9" t="s">
        <v>88</v>
      </c>
      <c r="E9" t="s">
        <v>84</v>
      </c>
      <c r="F9" t="s">
        <v>89</v>
      </c>
      <c r="G9" t="s">
        <v>68</v>
      </c>
      <c r="H9">
        <v>66408.89</v>
      </c>
    </row>
    <row r="10" spans="1:8" x14ac:dyDescent="0.25">
      <c r="A10">
        <v>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68</v>
      </c>
      <c r="H10">
        <v>67387.8</v>
      </c>
    </row>
    <row r="11" spans="1:8" x14ac:dyDescent="0.25">
      <c r="A11">
        <v>10</v>
      </c>
      <c r="B11" t="s">
        <v>95</v>
      </c>
      <c r="C11" t="s">
        <v>96</v>
      </c>
      <c r="D11" t="s">
        <v>97</v>
      </c>
      <c r="E11" t="s">
        <v>54</v>
      </c>
      <c r="F11" t="s">
        <v>98</v>
      </c>
      <c r="G11" t="s">
        <v>56</v>
      </c>
      <c r="H11">
        <v>59509.91</v>
      </c>
    </row>
    <row r="12" spans="1:8" x14ac:dyDescent="0.25">
      <c r="A12">
        <v>11</v>
      </c>
      <c r="B12" t="s">
        <v>99</v>
      </c>
      <c r="C12" t="s">
        <v>100</v>
      </c>
      <c r="D12" t="s">
        <v>101</v>
      </c>
      <c r="E12" t="s">
        <v>93</v>
      </c>
      <c r="F12" t="s">
        <v>102</v>
      </c>
      <c r="G12" t="s">
        <v>56</v>
      </c>
      <c r="H12">
        <v>51181.11</v>
      </c>
    </row>
    <row r="13" spans="1:8" x14ac:dyDescent="0.25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62</v>
      </c>
      <c r="H13">
        <v>20122.48</v>
      </c>
    </row>
    <row r="14" spans="1:8" x14ac:dyDescent="0.25">
      <c r="A14">
        <v>13</v>
      </c>
      <c r="B14" t="s">
        <v>108</v>
      </c>
      <c r="C14" t="s">
        <v>109</v>
      </c>
      <c r="D14" t="s">
        <v>110</v>
      </c>
      <c r="E14" t="s">
        <v>84</v>
      </c>
      <c r="F14" t="s">
        <v>111</v>
      </c>
      <c r="G14" t="s">
        <v>56</v>
      </c>
      <c r="H14">
        <v>40683.74</v>
      </c>
    </row>
    <row r="15" spans="1:8" x14ac:dyDescent="0.25">
      <c r="A15">
        <v>14</v>
      </c>
      <c r="B15" t="s">
        <v>112</v>
      </c>
      <c r="C15" t="s">
        <v>113</v>
      </c>
      <c r="D15" t="s">
        <v>114</v>
      </c>
      <c r="E15" t="s">
        <v>93</v>
      </c>
      <c r="F15" t="s">
        <v>115</v>
      </c>
      <c r="G15" t="s">
        <v>56</v>
      </c>
      <c r="H15">
        <v>65911.72</v>
      </c>
    </row>
    <row r="16" spans="1:8" x14ac:dyDescent="0.25">
      <c r="A16">
        <v>15</v>
      </c>
      <c r="B16" t="s">
        <v>116</v>
      </c>
      <c r="C16" t="s">
        <v>117</v>
      </c>
      <c r="D16" t="s">
        <v>118</v>
      </c>
      <c r="E16" t="s">
        <v>106</v>
      </c>
      <c r="F16" t="s">
        <v>119</v>
      </c>
      <c r="G16" t="s">
        <v>68</v>
      </c>
      <c r="H16">
        <v>39811.699999999997</v>
      </c>
    </row>
    <row r="17" spans="1:8" x14ac:dyDescent="0.25">
      <c r="A17">
        <v>16</v>
      </c>
      <c r="B17" t="s">
        <v>120</v>
      </c>
      <c r="C17" t="s">
        <v>121</v>
      </c>
      <c r="D17" t="s">
        <v>122</v>
      </c>
      <c r="E17" t="s">
        <v>66</v>
      </c>
      <c r="F17" t="s">
        <v>123</v>
      </c>
      <c r="G17" t="s">
        <v>68</v>
      </c>
      <c r="H17">
        <v>9514.81</v>
      </c>
    </row>
    <row r="18" spans="1:8" x14ac:dyDescent="0.25">
      <c r="A18">
        <v>17</v>
      </c>
      <c r="B18" t="s">
        <v>124</v>
      </c>
      <c r="C18" t="s">
        <v>125</v>
      </c>
      <c r="D18" t="s">
        <v>126</v>
      </c>
      <c r="E18" t="s">
        <v>84</v>
      </c>
      <c r="F18" t="s">
        <v>127</v>
      </c>
      <c r="G18" t="s">
        <v>62</v>
      </c>
      <c r="H18">
        <v>47517.17</v>
      </c>
    </row>
    <row r="19" spans="1:8" x14ac:dyDescent="0.25">
      <c r="A19">
        <v>18</v>
      </c>
      <c r="B19" t="s">
        <v>124</v>
      </c>
      <c r="C19" t="s">
        <v>128</v>
      </c>
      <c r="D19" t="s">
        <v>129</v>
      </c>
      <c r="E19" t="s">
        <v>106</v>
      </c>
      <c r="F19" t="s">
        <v>130</v>
      </c>
      <c r="G19" t="s">
        <v>56</v>
      </c>
      <c r="H19">
        <v>54389.77</v>
      </c>
    </row>
    <row r="20" spans="1:8" x14ac:dyDescent="0.25">
      <c r="A20">
        <v>19</v>
      </c>
      <c r="B20" t="s">
        <v>131</v>
      </c>
      <c r="C20" t="s">
        <v>132</v>
      </c>
      <c r="D20" t="s">
        <v>133</v>
      </c>
      <c r="E20" t="s">
        <v>54</v>
      </c>
      <c r="F20" t="s">
        <v>134</v>
      </c>
      <c r="G20" t="s">
        <v>68</v>
      </c>
      <c r="H20">
        <v>26895.17</v>
      </c>
    </row>
    <row r="21" spans="1:8" x14ac:dyDescent="0.25">
      <c r="A21">
        <v>20</v>
      </c>
      <c r="B21" t="s">
        <v>135</v>
      </c>
      <c r="C21" t="s">
        <v>136</v>
      </c>
      <c r="D21" t="s">
        <v>137</v>
      </c>
      <c r="E21" t="s">
        <v>84</v>
      </c>
      <c r="F21" t="s">
        <v>138</v>
      </c>
      <c r="G21" t="s">
        <v>62</v>
      </c>
      <c r="H21">
        <v>33921.71</v>
      </c>
    </row>
    <row r="22" spans="1:8" x14ac:dyDescent="0.25">
      <c r="A22">
        <v>21</v>
      </c>
      <c r="B22" t="s">
        <v>139</v>
      </c>
      <c r="C22" t="s">
        <v>140</v>
      </c>
      <c r="D22" t="s">
        <v>141</v>
      </c>
      <c r="E22" t="s">
        <v>54</v>
      </c>
      <c r="F22" t="s">
        <v>142</v>
      </c>
      <c r="G22" t="s">
        <v>62</v>
      </c>
      <c r="H22">
        <v>62784.06</v>
      </c>
    </row>
    <row r="23" spans="1:8" x14ac:dyDescent="0.25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56</v>
      </c>
      <c r="H23">
        <v>73905.509999999995</v>
      </c>
    </row>
    <row r="24" spans="1:8" x14ac:dyDescent="0.25">
      <c r="A24">
        <v>23</v>
      </c>
      <c r="B24" t="s">
        <v>148</v>
      </c>
      <c r="C24" t="s">
        <v>149</v>
      </c>
      <c r="D24" t="s">
        <v>150</v>
      </c>
      <c r="E24" t="s">
        <v>106</v>
      </c>
      <c r="F24" t="s">
        <v>151</v>
      </c>
      <c r="G24" t="s">
        <v>68</v>
      </c>
      <c r="H24">
        <v>16718.72</v>
      </c>
    </row>
    <row r="25" spans="1:8" x14ac:dyDescent="0.25">
      <c r="A25">
        <v>24</v>
      </c>
      <c r="B25" t="s">
        <v>152</v>
      </c>
      <c r="C25" t="s">
        <v>153</v>
      </c>
      <c r="D25" t="s">
        <v>154</v>
      </c>
      <c r="E25" t="s">
        <v>106</v>
      </c>
      <c r="F25" t="s">
        <v>102</v>
      </c>
      <c r="G25" t="s">
        <v>62</v>
      </c>
      <c r="H25">
        <v>12228.74</v>
      </c>
    </row>
    <row r="26" spans="1:8" x14ac:dyDescent="0.25">
      <c r="A26">
        <v>25</v>
      </c>
      <c r="B26" t="s">
        <v>155</v>
      </c>
      <c r="C26" t="s">
        <v>156</v>
      </c>
      <c r="D26" t="s">
        <v>157</v>
      </c>
      <c r="E26" t="s">
        <v>60</v>
      </c>
      <c r="F26" t="s">
        <v>158</v>
      </c>
      <c r="G26" t="s">
        <v>56</v>
      </c>
      <c r="H26">
        <v>43629.47</v>
      </c>
    </row>
    <row r="27" spans="1:8" x14ac:dyDescent="0.25">
      <c r="A27">
        <v>26</v>
      </c>
      <c r="B27" t="s">
        <v>159</v>
      </c>
      <c r="C27" t="s">
        <v>160</v>
      </c>
      <c r="D27" t="s">
        <v>161</v>
      </c>
      <c r="E27" t="s">
        <v>66</v>
      </c>
      <c r="F27" t="s">
        <v>162</v>
      </c>
      <c r="G27" t="s">
        <v>62</v>
      </c>
      <c r="H27">
        <v>53856.29</v>
      </c>
    </row>
    <row r="28" spans="1:8" x14ac:dyDescent="0.25">
      <c r="A28">
        <v>27</v>
      </c>
      <c r="B28" t="s">
        <v>163</v>
      </c>
      <c r="C28" t="s">
        <v>164</v>
      </c>
      <c r="D28" t="s">
        <v>165</v>
      </c>
      <c r="E28" t="s">
        <v>66</v>
      </c>
      <c r="F28" t="s">
        <v>166</v>
      </c>
      <c r="G28" t="s">
        <v>68</v>
      </c>
      <c r="H28">
        <v>46776.36</v>
      </c>
    </row>
    <row r="29" spans="1:8" x14ac:dyDescent="0.25">
      <c r="A29">
        <v>28</v>
      </c>
      <c r="B29" t="s">
        <v>167</v>
      </c>
      <c r="C29" t="s">
        <v>168</v>
      </c>
      <c r="D29" t="s">
        <v>169</v>
      </c>
      <c r="E29" t="s">
        <v>54</v>
      </c>
      <c r="F29" t="s">
        <v>170</v>
      </c>
      <c r="G29" t="s">
        <v>68</v>
      </c>
      <c r="H29">
        <v>12252.14</v>
      </c>
    </row>
    <row r="30" spans="1:8" x14ac:dyDescent="0.25">
      <c r="A30">
        <v>29</v>
      </c>
      <c r="B30" t="s">
        <v>171</v>
      </c>
      <c r="C30" t="s">
        <v>172</v>
      </c>
      <c r="D30" t="s">
        <v>173</v>
      </c>
      <c r="E30" t="s">
        <v>54</v>
      </c>
      <c r="F30" t="s">
        <v>174</v>
      </c>
      <c r="G30" t="s">
        <v>56</v>
      </c>
      <c r="H30">
        <v>66783.600000000006</v>
      </c>
    </row>
    <row r="31" spans="1:8" x14ac:dyDescent="0.25">
      <c r="A31">
        <v>30</v>
      </c>
      <c r="B31" t="s">
        <v>175</v>
      </c>
      <c r="C31" t="s">
        <v>176</v>
      </c>
      <c r="D31" t="s">
        <v>177</v>
      </c>
      <c r="E31" t="s">
        <v>93</v>
      </c>
      <c r="F31" t="s">
        <v>178</v>
      </c>
      <c r="G31" t="s">
        <v>68</v>
      </c>
      <c r="H31">
        <v>67947.570000000007</v>
      </c>
    </row>
    <row r="32" spans="1:8" x14ac:dyDescent="0.25">
      <c r="A32">
        <v>31</v>
      </c>
      <c r="B32" t="s">
        <v>179</v>
      </c>
      <c r="C32" t="s">
        <v>180</v>
      </c>
      <c r="D32" t="s">
        <v>181</v>
      </c>
      <c r="E32" t="s">
        <v>182</v>
      </c>
      <c r="F32" t="s">
        <v>183</v>
      </c>
      <c r="G32" t="s">
        <v>56</v>
      </c>
      <c r="H32">
        <v>55721.7</v>
      </c>
    </row>
    <row r="33" spans="1:8" x14ac:dyDescent="0.25">
      <c r="A33">
        <v>32</v>
      </c>
      <c r="B33" t="s">
        <v>184</v>
      </c>
      <c r="C33" t="s">
        <v>185</v>
      </c>
      <c r="D33" t="s">
        <v>186</v>
      </c>
      <c r="E33" t="s">
        <v>146</v>
      </c>
      <c r="F33" t="s">
        <v>187</v>
      </c>
      <c r="G33" t="s">
        <v>62</v>
      </c>
      <c r="H33">
        <v>11532.99</v>
      </c>
    </row>
    <row r="34" spans="1:8" x14ac:dyDescent="0.25">
      <c r="A34">
        <v>33</v>
      </c>
      <c r="B34" t="s">
        <v>188</v>
      </c>
      <c r="C34" t="s">
        <v>189</v>
      </c>
      <c r="D34" t="s">
        <v>190</v>
      </c>
      <c r="E34" t="s">
        <v>84</v>
      </c>
      <c r="F34" t="s">
        <v>191</v>
      </c>
      <c r="G34" t="s">
        <v>68</v>
      </c>
      <c r="H34">
        <v>58618.66</v>
      </c>
    </row>
    <row r="35" spans="1:8" x14ac:dyDescent="0.25">
      <c r="A35">
        <v>34</v>
      </c>
      <c r="B35" t="s">
        <v>99</v>
      </c>
      <c r="C35" t="s">
        <v>192</v>
      </c>
      <c r="D35" t="s">
        <v>193</v>
      </c>
      <c r="E35" t="s">
        <v>146</v>
      </c>
      <c r="F35" t="s">
        <v>194</v>
      </c>
      <c r="G35" t="s">
        <v>68</v>
      </c>
      <c r="H35">
        <v>58787.79</v>
      </c>
    </row>
    <row r="36" spans="1:8" x14ac:dyDescent="0.25">
      <c r="A36">
        <v>35</v>
      </c>
      <c r="B36" t="s">
        <v>195</v>
      </c>
      <c r="C36" t="s">
        <v>196</v>
      </c>
      <c r="D36" t="s">
        <v>197</v>
      </c>
      <c r="E36" t="s">
        <v>106</v>
      </c>
      <c r="F36" t="s">
        <v>138</v>
      </c>
      <c r="G36" t="s">
        <v>68</v>
      </c>
      <c r="H36">
        <v>26549.55</v>
      </c>
    </row>
    <row r="37" spans="1:8" x14ac:dyDescent="0.25">
      <c r="A37">
        <v>36</v>
      </c>
      <c r="B37" t="s">
        <v>198</v>
      </c>
      <c r="C37" t="s">
        <v>199</v>
      </c>
      <c r="D37" t="s">
        <v>200</v>
      </c>
      <c r="E37" t="s">
        <v>93</v>
      </c>
      <c r="F37" t="s">
        <v>201</v>
      </c>
      <c r="G37" t="s">
        <v>62</v>
      </c>
      <c r="H37">
        <v>30276.04</v>
      </c>
    </row>
    <row r="38" spans="1:8" x14ac:dyDescent="0.25">
      <c r="A38">
        <v>37</v>
      </c>
      <c r="B38" t="s">
        <v>202</v>
      </c>
      <c r="C38" t="s">
        <v>203</v>
      </c>
      <c r="D38" t="s">
        <v>204</v>
      </c>
      <c r="E38" t="s">
        <v>146</v>
      </c>
      <c r="F38" t="s">
        <v>205</v>
      </c>
      <c r="G38" t="s">
        <v>68</v>
      </c>
      <c r="H38">
        <v>26253.69</v>
      </c>
    </row>
    <row r="39" spans="1:8" x14ac:dyDescent="0.25">
      <c r="A39">
        <v>38</v>
      </c>
      <c r="B39" t="s">
        <v>206</v>
      </c>
      <c r="C39" t="s">
        <v>207</v>
      </c>
      <c r="D39" t="s">
        <v>208</v>
      </c>
      <c r="E39" t="s">
        <v>146</v>
      </c>
      <c r="F39" t="s">
        <v>209</v>
      </c>
      <c r="G39" t="s">
        <v>56</v>
      </c>
      <c r="H39">
        <v>39234.07</v>
      </c>
    </row>
    <row r="40" spans="1:8" x14ac:dyDescent="0.25">
      <c r="A40">
        <v>39</v>
      </c>
      <c r="B40" t="s">
        <v>210</v>
      </c>
      <c r="C40" t="s">
        <v>211</v>
      </c>
      <c r="D40" t="s">
        <v>212</v>
      </c>
      <c r="E40" t="s">
        <v>66</v>
      </c>
      <c r="F40" t="s">
        <v>213</v>
      </c>
      <c r="G40" t="s">
        <v>56</v>
      </c>
      <c r="H40">
        <v>54121.69</v>
      </c>
    </row>
    <row r="41" spans="1:8" x14ac:dyDescent="0.25">
      <c r="A41">
        <v>40</v>
      </c>
      <c r="B41" t="s">
        <v>214</v>
      </c>
      <c r="C41" t="s">
        <v>215</v>
      </c>
      <c r="D41" t="s">
        <v>216</v>
      </c>
      <c r="E41" t="s">
        <v>182</v>
      </c>
      <c r="F41" t="s">
        <v>217</v>
      </c>
      <c r="G41" t="s">
        <v>62</v>
      </c>
      <c r="H41">
        <v>70557.09</v>
      </c>
    </row>
    <row r="42" spans="1:8" x14ac:dyDescent="0.25">
      <c r="A42">
        <v>41</v>
      </c>
      <c r="B42" t="s">
        <v>218</v>
      </c>
      <c r="C42" t="s">
        <v>219</v>
      </c>
      <c r="D42" t="s">
        <v>220</v>
      </c>
      <c r="E42" t="s">
        <v>93</v>
      </c>
      <c r="F42" t="s">
        <v>217</v>
      </c>
      <c r="G42" t="s">
        <v>62</v>
      </c>
      <c r="H42">
        <v>45696.29</v>
      </c>
    </row>
    <row r="43" spans="1:8" x14ac:dyDescent="0.25">
      <c r="A43">
        <v>42</v>
      </c>
      <c r="B43" t="s">
        <v>221</v>
      </c>
      <c r="C43" t="s">
        <v>222</v>
      </c>
      <c r="D43" t="s">
        <v>223</v>
      </c>
      <c r="E43" t="s">
        <v>182</v>
      </c>
      <c r="F43" t="s">
        <v>224</v>
      </c>
      <c r="G43" t="s">
        <v>68</v>
      </c>
      <c r="H43">
        <v>38901.17</v>
      </c>
    </row>
    <row r="44" spans="1:8" x14ac:dyDescent="0.25">
      <c r="A44">
        <v>43</v>
      </c>
      <c r="B44" t="s">
        <v>225</v>
      </c>
      <c r="C44" t="s">
        <v>226</v>
      </c>
      <c r="D44" t="s">
        <v>227</v>
      </c>
      <c r="E44" t="s">
        <v>182</v>
      </c>
      <c r="F44" t="s">
        <v>228</v>
      </c>
      <c r="G44" t="s">
        <v>56</v>
      </c>
      <c r="H44">
        <v>73803.23</v>
      </c>
    </row>
    <row r="45" spans="1:8" x14ac:dyDescent="0.25">
      <c r="A45">
        <v>44</v>
      </c>
      <c r="B45" t="s">
        <v>229</v>
      </c>
      <c r="C45" t="s">
        <v>230</v>
      </c>
      <c r="D45" t="s">
        <v>231</v>
      </c>
      <c r="E45" t="s">
        <v>60</v>
      </c>
      <c r="F45" t="s">
        <v>232</v>
      </c>
      <c r="G45" t="s">
        <v>56</v>
      </c>
      <c r="H45">
        <v>11494.07</v>
      </c>
    </row>
    <row r="46" spans="1:8" x14ac:dyDescent="0.25">
      <c r="A46">
        <v>45</v>
      </c>
      <c r="B46" t="s">
        <v>233</v>
      </c>
      <c r="C46" t="s">
        <v>234</v>
      </c>
      <c r="D46" t="s">
        <v>235</v>
      </c>
      <c r="E46" t="s">
        <v>106</v>
      </c>
      <c r="F46" t="s">
        <v>236</v>
      </c>
      <c r="G46" t="s">
        <v>56</v>
      </c>
      <c r="H46">
        <v>68851.520000000004</v>
      </c>
    </row>
    <row r="47" spans="1:8" x14ac:dyDescent="0.25">
      <c r="A47">
        <v>46</v>
      </c>
      <c r="B47" t="s">
        <v>237</v>
      </c>
      <c r="C47" t="s">
        <v>238</v>
      </c>
      <c r="D47" t="s">
        <v>239</v>
      </c>
      <c r="E47" t="s">
        <v>66</v>
      </c>
      <c r="F47" t="s">
        <v>240</v>
      </c>
      <c r="G47" t="s">
        <v>62</v>
      </c>
      <c r="H47">
        <v>66955.509999999995</v>
      </c>
    </row>
    <row r="48" spans="1:8" x14ac:dyDescent="0.25">
      <c r="A48">
        <v>47</v>
      </c>
      <c r="B48" t="s">
        <v>241</v>
      </c>
      <c r="C48" t="s">
        <v>242</v>
      </c>
      <c r="D48" t="s">
        <v>243</v>
      </c>
      <c r="E48" t="s">
        <v>93</v>
      </c>
      <c r="F48" t="s">
        <v>178</v>
      </c>
      <c r="G48" t="s">
        <v>62</v>
      </c>
      <c r="H48">
        <v>18323.82</v>
      </c>
    </row>
    <row r="49" spans="1:8" x14ac:dyDescent="0.25">
      <c r="A49">
        <v>48</v>
      </c>
      <c r="B49" t="s">
        <v>244</v>
      </c>
      <c r="C49" t="s">
        <v>245</v>
      </c>
      <c r="D49" t="s">
        <v>246</v>
      </c>
      <c r="E49" t="s">
        <v>54</v>
      </c>
      <c r="F49" t="s">
        <v>247</v>
      </c>
      <c r="G49" t="s">
        <v>56</v>
      </c>
      <c r="H49">
        <v>29036.13</v>
      </c>
    </row>
    <row r="50" spans="1:8" x14ac:dyDescent="0.25">
      <c r="A50">
        <v>49</v>
      </c>
      <c r="B50" t="s">
        <v>248</v>
      </c>
      <c r="C50" t="s">
        <v>249</v>
      </c>
      <c r="D50" t="s">
        <v>250</v>
      </c>
      <c r="E50" t="s">
        <v>60</v>
      </c>
      <c r="F50" t="s">
        <v>251</v>
      </c>
      <c r="G50" t="s">
        <v>68</v>
      </c>
      <c r="H50">
        <v>29516.02</v>
      </c>
    </row>
    <row r="51" spans="1:8" x14ac:dyDescent="0.25">
      <c r="A51">
        <v>50</v>
      </c>
      <c r="B51" t="s">
        <v>252</v>
      </c>
      <c r="C51" t="s">
        <v>253</v>
      </c>
      <c r="D51" t="s">
        <v>254</v>
      </c>
      <c r="E51" t="s">
        <v>60</v>
      </c>
      <c r="F51" t="s">
        <v>255</v>
      </c>
      <c r="G51" t="s">
        <v>62</v>
      </c>
      <c r="H51">
        <v>55230.239999999998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0A5A-D37D-473B-B0B5-B29272560E6C}">
  <dimension ref="A1:H5"/>
  <sheetViews>
    <sheetView workbookViewId="0">
      <selection activeCell="B7" sqref="B7"/>
    </sheetView>
  </sheetViews>
  <sheetFormatPr defaultRowHeight="15" x14ac:dyDescent="0.25"/>
  <cols>
    <col min="1" max="1" width="5.140625" bestFit="1" customWidth="1"/>
    <col min="2" max="2" width="19" bestFit="1" customWidth="1"/>
    <col min="3" max="3" width="13.140625" bestFit="1" customWidth="1"/>
    <col min="4" max="4" width="17.85546875" bestFit="1" customWidth="1"/>
    <col min="5" max="5" width="28.7109375" bestFit="1" customWidth="1"/>
    <col min="6" max="6" width="24.85546875" bestFit="1" customWidth="1"/>
    <col min="7" max="7" width="46.42578125" bestFit="1" customWidth="1"/>
    <col min="8" max="8" width="16.5703125" bestFit="1" customWidth="1"/>
  </cols>
  <sheetData>
    <row r="1" spans="1:8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>
        <v>1</v>
      </c>
      <c r="B2" s="14" t="s">
        <v>27</v>
      </c>
      <c r="C2">
        <v>0</v>
      </c>
      <c r="D2" s="14" t="s">
        <v>28</v>
      </c>
      <c r="E2" s="14" t="s">
        <v>29</v>
      </c>
      <c r="F2">
        <v>5</v>
      </c>
      <c r="G2" s="14" t="s">
        <v>30</v>
      </c>
      <c r="H2" s="14" t="s">
        <v>31</v>
      </c>
    </row>
    <row r="3" spans="1:8" x14ac:dyDescent="0.25">
      <c r="A3">
        <v>2</v>
      </c>
      <c r="B3" s="14" t="s">
        <v>32</v>
      </c>
      <c r="C3">
        <v>1490</v>
      </c>
      <c r="D3" s="14" t="s">
        <v>28</v>
      </c>
      <c r="E3" s="14" t="s">
        <v>33</v>
      </c>
      <c r="F3">
        <v>50</v>
      </c>
      <c r="G3" s="14" t="s">
        <v>34</v>
      </c>
      <c r="H3" s="14" t="s">
        <v>31</v>
      </c>
    </row>
    <row r="4" spans="1:8" x14ac:dyDescent="0.25">
      <c r="A4">
        <v>3</v>
      </c>
      <c r="B4" s="14" t="s">
        <v>35</v>
      </c>
      <c r="C4">
        <v>4990</v>
      </c>
      <c r="D4" s="14" t="s">
        <v>28</v>
      </c>
      <c r="E4" s="14" t="s">
        <v>36</v>
      </c>
      <c r="F4">
        <v>200</v>
      </c>
      <c r="G4" s="14" t="s">
        <v>37</v>
      </c>
      <c r="H4" s="14" t="s">
        <v>38</v>
      </c>
    </row>
    <row r="5" spans="1:8" x14ac:dyDescent="0.25">
      <c r="A5">
        <v>4</v>
      </c>
      <c r="B5" s="14" t="s">
        <v>39</v>
      </c>
      <c r="C5">
        <v>14990</v>
      </c>
      <c r="D5" s="14" t="s">
        <v>40</v>
      </c>
      <c r="E5" s="14" t="s">
        <v>41</v>
      </c>
      <c r="F5">
        <v>1000</v>
      </c>
      <c r="G5" s="14" t="s">
        <v>42</v>
      </c>
      <c r="H5" s="14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zoomScale="205" zoomScaleNormal="205" workbookViewId="0">
      <selection activeCell="A3" sqref="A3"/>
    </sheetView>
  </sheetViews>
  <sheetFormatPr defaultColWidth="9.140625" defaultRowHeight="15" x14ac:dyDescent="0.25"/>
  <sheetData>
    <row r="1" spans="1:2" x14ac:dyDescent="0.25">
      <c r="A1" t="s">
        <v>16</v>
      </c>
      <c r="B1" s="10">
        <v>20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F748-92A8-401B-9438-AB289EF58AD0}">
  <dimension ref="A1:D5"/>
  <sheetViews>
    <sheetView zoomScale="190" zoomScaleNormal="190" workbookViewId="0">
      <selection activeCell="D17" sqref="D17"/>
    </sheetView>
  </sheetViews>
  <sheetFormatPr defaultColWidth="9.140625" defaultRowHeight="18" x14ac:dyDescent="0.25"/>
  <cols>
    <col min="1" max="1" width="16.7109375" style="6" bestFit="1" customWidth="1"/>
    <col min="2" max="2" width="8.7109375" style="5" bestFit="1" customWidth="1"/>
    <col min="3" max="3" width="8.7109375" style="2" bestFit="1" customWidth="1"/>
    <col min="4" max="4" width="8.85546875" style="2" bestFit="1" customWidth="1"/>
    <col min="5" max="16384" width="9.140625" style="4"/>
  </cols>
  <sheetData>
    <row r="1" spans="1:4" x14ac:dyDescent="0.25">
      <c r="B1" s="3" t="s">
        <v>4</v>
      </c>
      <c r="C1" s="3" t="s">
        <v>5</v>
      </c>
      <c r="D1" s="3" t="s">
        <v>6</v>
      </c>
    </row>
    <row r="2" spans="1:4" s="2" customFormat="1" x14ac:dyDescent="0.25">
      <c r="A2" s="7" t="s">
        <v>0</v>
      </c>
      <c r="B2" s="5">
        <v>34</v>
      </c>
      <c r="C2" s="2">
        <v>12</v>
      </c>
      <c r="D2" s="2">
        <f>B2+C2</f>
        <v>46</v>
      </c>
    </row>
    <row r="3" spans="1:4" x14ac:dyDescent="0.25">
      <c r="A3" s="8" t="s">
        <v>1</v>
      </c>
      <c r="B3" s="5">
        <v>45</v>
      </c>
      <c r="C3" s="2">
        <v>2</v>
      </c>
      <c r="D3" s="2">
        <f>B3-C3</f>
        <v>43</v>
      </c>
    </row>
    <row r="4" spans="1:4" x14ac:dyDescent="0.25">
      <c r="A4" s="8" t="s">
        <v>2</v>
      </c>
      <c r="B4" s="5">
        <v>8</v>
      </c>
      <c r="C4" s="2">
        <v>5</v>
      </c>
      <c r="D4" s="2">
        <f>B4*C4</f>
        <v>40</v>
      </c>
    </row>
    <row r="5" spans="1:4" x14ac:dyDescent="0.25">
      <c r="A5" s="8" t="s">
        <v>3</v>
      </c>
      <c r="B5" s="5">
        <v>10</v>
      </c>
      <c r="C5" s="2">
        <v>2</v>
      </c>
      <c r="D5" s="2">
        <f>B5/C5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74D2-FE0D-4AFE-A9FA-7FB05DF50F53}">
  <dimension ref="A1:K6"/>
  <sheetViews>
    <sheetView tabSelected="1" topLeftCell="B1" zoomScale="160" zoomScaleNormal="160" workbookViewId="0">
      <selection activeCell="J2" sqref="J2"/>
    </sheetView>
  </sheetViews>
  <sheetFormatPr defaultRowHeight="15" x14ac:dyDescent="0.25"/>
  <cols>
    <col min="3" max="3" width="14.85546875" style="9" bestFit="1" customWidth="1"/>
    <col min="4" max="4" width="16.7109375" bestFit="1" customWidth="1"/>
    <col min="5" max="5" width="13.85546875" customWidth="1"/>
    <col min="6" max="6" width="20.85546875" customWidth="1"/>
    <col min="7" max="7" width="15.7109375" bestFit="1" customWidth="1"/>
    <col min="11" max="11" width="13.5703125" bestFit="1" customWidth="1"/>
  </cols>
  <sheetData>
    <row r="1" spans="1:11" s="1" customFormat="1" x14ac:dyDescent="0.25">
      <c r="A1" s="1" t="s">
        <v>8</v>
      </c>
      <c r="B1" s="1" t="s">
        <v>7</v>
      </c>
      <c r="C1" s="1" t="s">
        <v>9</v>
      </c>
      <c r="D1" s="1" t="s">
        <v>10</v>
      </c>
      <c r="E1" s="1" t="s">
        <v>15</v>
      </c>
      <c r="F1" s="1" t="s">
        <v>17</v>
      </c>
      <c r="G1" s="1" t="s">
        <v>18</v>
      </c>
      <c r="H1" s="1" t="s">
        <v>256</v>
      </c>
    </row>
    <row r="2" spans="1:11" x14ac:dyDescent="0.25">
      <c r="A2">
        <v>1</v>
      </c>
      <c r="B2" t="s">
        <v>14</v>
      </c>
      <c r="C2" s="9">
        <v>2500</v>
      </c>
      <c r="D2">
        <v>21</v>
      </c>
      <c r="E2" s="9">
        <f>C2*D2</f>
        <v>52500</v>
      </c>
      <c r="F2" s="9">
        <f>E2*'Исходные данные'!$B$1/100</f>
        <v>10500</v>
      </c>
      <c r="G2" s="9">
        <f>E2-F2</f>
        <v>42000</v>
      </c>
      <c r="H2" t="b">
        <f>IF(G2&gt;40000, TRUE, FALSE)</f>
        <v>1</v>
      </c>
      <c r="I2">
        <f>COUNTIF(H:H,TRUE)</f>
        <v>2</v>
      </c>
      <c r="J2">
        <f>SUMIF(H:H, TRUE,G:G)</f>
        <v>106800</v>
      </c>
      <c r="K2" s="16">
        <f>J2/G6</f>
        <v>0.60270880361173818</v>
      </c>
    </row>
    <row r="3" spans="1:11" x14ac:dyDescent="0.25">
      <c r="A3">
        <v>2</v>
      </c>
      <c r="B3" t="s">
        <v>11</v>
      </c>
      <c r="C3" s="9">
        <v>3200</v>
      </c>
      <c r="D3">
        <v>15</v>
      </c>
      <c r="E3" s="9">
        <f t="shared" ref="E3:E5" si="0">C3*D3</f>
        <v>48000</v>
      </c>
      <c r="F3" s="9">
        <f>E3*'Исходные данные'!$B$1/100</f>
        <v>9600</v>
      </c>
      <c r="G3" s="9">
        <f t="shared" ref="G3:G6" si="1">E3-F3</f>
        <v>38400</v>
      </c>
      <c r="H3" t="b">
        <f t="shared" ref="H3:H5" si="2">IF(G3&gt;40000, TRUE, FALSE)</f>
        <v>0</v>
      </c>
      <c r="K3" s="15"/>
    </row>
    <row r="4" spans="1:11" x14ac:dyDescent="0.25">
      <c r="A4">
        <v>3</v>
      </c>
      <c r="B4" t="s">
        <v>13</v>
      </c>
      <c r="C4" s="9">
        <v>2700</v>
      </c>
      <c r="D4">
        <v>30</v>
      </c>
      <c r="E4" s="9">
        <f t="shared" si="0"/>
        <v>81000</v>
      </c>
      <c r="F4" s="9">
        <f>E4*'Исходные данные'!$B$1/100</f>
        <v>16200</v>
      </c>
      <c r="G4" s="9">
        <f t="shared" si="1"/>
        <v>64800</v>
      </c>
      <c r="H4" t="b">
        <f t="shared" si="2"/>
        <v>1</v>
      </c>
    </row>
    <row r="5" spans="1:11" x14ac:dyDescent="0.25">
      <c r="A5">
        <v>4</v>
      </c>
      <c r="B5" t="s">
        <v>12</v>
      </c>
      <c r="C5" s="9">
        <v>4000</v>
      </c>
      <c r="D5">
        <v>10</v>
      </c>
      <c r="E5" s="9">
        <f t="shared" si="0"/>
        <v>40000</v>
      </c>
      <c r="F5" s="9">
        <f>E5*'Исходные данные'!$B$1/100</f>
        <v>8000</v>
      </c>
      <c r="G5" s="9">
        <f t="shared" si="1"/>
        <v>32000</v>
      </c>
      <c r="H5" t="b">
        <f t="shared" si="2"/>
        <v>0</v>
      </c>
    </row>
    <row r="6" spans="1:11" x14ac:dyDescent="0.25">
      <c r="E6" s="13">
        <f>SUM(E2:E5)</f>
        <v>221500</v>
      </c>
      <c r="F6" s="12">
        <f>SUM(F2:F5)</f>
        <v>44300</v>
      </c>
      <c r="G6" s="11">
        <f t="shared" si="1"/>
        <v>177200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9DA-DBF6-4D90-92F4-774B22D459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32B00-5544-4C2D-9C67-34882DE9F5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import JSON</vt:lpstr>
      <vt:lpstr>import CSV</vt:lpstr>
      <vt:lpstr>Исходные данные</vt:lpstr>
      <vt:lpstr>Реестр</vt:lpstr>
      <vt:lpstr>Справочники</vt:lpstr>
      <vt:lpstr>Аналитика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studentcoll</cp:lastModifiedBy>
  <dcterms:created xsi:type="dcterms:W3CDTF">2015-06-05T18:19:34Z</dcterms:created>
  <dcterms:modified xsi:type="dcterms:W3CDTF">2026-10-14T09:59:14Z</dcterms:modified>
</cp:coreProperties>
</file>